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yab\OneDrive\Desktop\ib pe vc\"/>
    </mc:Choice>
  </mc:AlternateContent>
  <xr:revisionPtr revIDLastSave="0" documentId="13_ncr:1_{1ACC0826-AD54-4476-B733-21D6E116A5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rt Here" sheetId="1" r:id="rId1"/>
    <sheet name="Company Data" sheetId="2" r:id="rId2"/>
    <sheet name="Simple Analysis" sheetId="3" r:id="rId3"/>
    <sheet name="Forecast" sheetId="4" r:id="rId4"/>
    <sheet name="Simple Valuation" sheetId="5" r:id="rId5"/>
    <sheet name="PE Example" sheetId="6" r:id="rId6"/>
  </sheets>
  <calcPr calcId="191029" forceFullCalc="1"/>
</workbook>
</file>

<file path=xl/calcChain.xml><?xml version="1.0" encoding="utf-8"?>
<calcChain xmlns="http://schemas.openxmlformats.org/spreadsheetml/2006/main">
  <c r="B3" i="5" l="1"/>
  <c r="B5" i="5" s="1"/>
  <c r="B3" i="6" s="1"/>
  <c r="C9" i="4"/>
  <c r="C8" i="4"/>
  <c r="C7" i="4"/>
  <c r="B7" i="4"/>
  <c r="B8" i="4" s="1"/>
  <c r="D8" i="3"/>
  <c r="B8" i="3"/>
  <c r="A8" i="3"/>
  <c r="D7" i="3"/>
  <c r="B7" i="3"/>
  <c r="A7" i="3"/>
  <c r="D6" i="3"/>
  <c r="B6" i="3"/>
  <c r="A6" i="3"/>
  <c r="D5" i="3"/>
  <c r="B5" i="3"/>
  <c r="C5" i="3" s="1"/>
  <c r="A5" i="3"/>
  <c r="D4" i="3"/>
  <c r="B4" i="3"/>
  <c r="A4" i="3"/>
  <c r="C6" i="3" l="1"/>
  <c r="E8" i="3"/>
  <c r="E5" i="3"/>
  <c r="E6" i="3"/>
  <c r="C7" i="3"/>
  <c r="C8" i="3"/>
  <c r="E7" i="3"/>
  <c r="B9" i="4"/>
  <c r="D8" i="4"/>
  <c r="B4" i="6"/>
  <c r="B9" i="6" s="1"/>
  <c r="D7" i="4"/>
  <c r="E4" i="3"/>
  <c r="B5" i="6" l="1"/>
  <c r="D9" i="4"/>
  <c r="B6" i="6" l="1"/>
  <c r="B8" i="6" s="1"/>
  <c r="B10" i="6" s="1"/>
  <c r="B11" i="6" s="1"/>
</calcChain>
</file>

<file path=xl/sharedStrings.xml><?xml version="1.0" encoding="utf-8"?>
<sst xmlns="http://schemas.openxmlformats.org/spreadsheetml/2006/main" count="89" uniqueCount="73">
  <si>
    <t>What are we trying to answer?</t>
  </si>
  <si>
    <t>Is the company growing, what might it be worth, and what could a PE investor earn in a simple example?</t>
  </si>
  <si>
    <t>Use these tabs in order:</t>
  </si>
  <si>
    <t>1. Company Data</t>
  </si>
  <si>
    <t>Five years of company financials. These are the starting facts.</t>
  </si>
  <si>
    <t>2. Simple Analysis</t>
  </si>
  <si>
    <t>See revenue growth and EBITDA margin. The formulas do the maths.</t>
  </si>
  <si>
    <t>3. Forecast</t>
  </si>
  <si>
    <t>Make a simple estimate for the next three years.</t>
  </si>
  <si>
    <t>4. Simple Valuation</t>
  </si>
  <si>
    <t>Estimate company value using EBITDA × an assumed multiple.</t>
  </si>
  <si>
    <t>5. PE Example</t>
  </si>
  <si>
    <t>Pretend a PE fund buys and sells the company; calculate MOIC.</t>
  </si>
  <si>
    <t>6. Dashboard Data</t>
  </si>
  <si>
    <t>Clean table to import into Power BI.</t>
  </si>
  <si>
    <t>Important:</t>
  </si>
  <si>
    <t>This is a learning case, not investment advice and not a claim that Tata Consumer is for sale.</t>
  </si>
  <si>
    <t>Historical figures are from the previous project dataset based on company annual reports; check the annual reports before using externally.</t>
  </si>
  <si>
    <t>Forecast growth, valuation multiple, debt and exit assumptions are made up for practice and are clearly labeled.</t>
  </si>
  <si>
    <t>COMPANY DATA — HISTORICAL FIGURES (₹ CRORE)</t>
  </si>
  <si>
    <t>Financial year</t>
  </si>
  <si>
    <t>Revenue</t>
  </si>
  <si>
    <t>EBITDA</t>
  </si>
  <si>
    <t>PAT</t>
  </si>
  <si>
    <t>Source type</t>
  </si>
  <si>
    <t>Notes</t>
  </si>
  <si>
    <t>FY22</t>
  </si>
  <si>
    <t>Company reported</t>
  </si>
  <si>
    <t>Historical</t>
  </si>
  <si>
    <t>FY23</t>
  </si>
  <si>
    <t>FY24</t>
  </si>
  <si>
    <t>FY25</t>
  </si>
  <si>
    <t>FY26</t>
  </si>
  <si>
    <t>SIMPLE ANALYSIS — LET THE FORMULAS DO THE MATH</t>
  </si>
  <si>
    <t>Year</t>
  </si>
  <si>
    <t>Revenue growth</t>
  </si>
  <si>
    <t>EBITDA margin</t>
  </si>
  <si>
    <t>—</t>
  </si>
  <si>
    <t>What does this tell us?</t>
  </si>
  <si>
    <t>Revenue growth = how quickly sales are increasing. EBITDA margin = how much EBITDA the company makes from every ₹100 of revenue.</t>
  </si>
  <si>
    <t>SIMPLE 3-YEAR FORECAST — PRACTICE, NOT A PROMISE</t>
  </si>
  <si>
    <t>Revenue growth assumption</t>
  </si>
  <si>
    <t>Yellow cells are assumptions you can change.</t>
  </si>
  <si>
    <t>EBITDA margin assumption</t>
  </si>
  <si>
    <t>What it means</t>
  </si>
  <si>
    <t>FY27</t>
  </si>
  <si>
    <t>Estimated, not actual</t>
  </si>
  <si>
    <t>FY28</t>
  </si>
  <si>
    <t>FY29</t>
  </si>
  <si>
    <t>Simple explanation:</t>
  </si>
  <si>
    <t>We assume sales grow by 8% each year and EBITDA stays at 14.5% of sales. These are practice assumptions, not management guidance.</t>
  </si>
  <si>
    <t>FY26 EBITDA (₹ Cr)</t>
  </si>
  <si>
    <t>Assumed EV / EBITDA multiple</t>
  </si>
  <si>
    <t>Estimated Enterprise Value (₹ Cr)</t>
  </si>
  <si>
    <t>How to understand it:</t>
  </si>
  <si>
    <t>If a business makes ₹100 EBITDA and we use 20×, its estimated enterprise value is ₹2,000.</t>
  </si>
  <si>
    <t>The 20× multiple is a simple learning assumption, not a live market quote or a formal valuation.</t>
  </si>
  <si>
    <t>A VERY SIMPLE PE BUY-AND-SELL EXAMPLE</t>
  </si>
  <si>
    <t>Item</t>
  </si>
  <si>
    <t>Value</t>
  </si>
  <si>
    <t>Purchase enterprise value</t>
  </si>
  <si>
    <t>Debt used to buy (30%)</t>
  </si>
  <si>
    <t>PE investor's own money</t>
  </si>
  <si>
    <t>FY29 forecast EBITDA</t>
  </si>
  <si>
    <t>Exit EV / EBITDA multiple</t>
  </si>
  <si>
    <t>Estimated selling value</t>
  </si>
  <si>
    <t>Debt remaining at sale</t>
  </si>
  <si>
    <t>Money received by PE fund</t>
  </si>
  <si>
    <t>MOIC</t>
  </si>
  <si>
    <t>Remember:</t>
  </si>
  <si>
    <t>This is a simplified illustration. We are not modeling interest, fees, taxes or a full debt repayment schedule.</t>
  </si>
  <si>
    <t xml:space="preserve"> INVESTMENT PROJECT</t>
  </si>
  <si>
    <t>COMPANY VALUE — ONE MULTIPLE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</si>
</sst>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"/>
    <numFmt numFmtId="166" formatCode="0.0\x"/>
    <numFmt numFmtId="167" formatCode="0.00\x"/>
  </numFmts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2"/>
      <name val="Arial"/>
    </font>
    <font>
      <sz val="11"/>
      <color theme="1"/>
      <name val="Calibri"/>
      <family val="2"/>
      <scheme val="minor"/>
    </font>
    <font>
      <b/>
      <sz val="11"/>
      <name val="Arial"/>
    </font>
    <font>
      <b/>
      <sz val="11"/>
      <color rgb="FF9C0006"/>
      <name val="Arial"/>
    </font>
    <font>
      <b/>
      <sz val="11"/>
      <color rgb="FFFFFFFF"/>
      <name val="Arial"/>
    </font>
    <font>
      <b/>
      <sz val="16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167" fontId="0" fillId="0" borderId="0" xfId="0" applyNumberFormat="1"/>
    <xf numFmtId="0" fontId="3" fillId="0" borderId="0" xfId="0" applyFont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0" fontId="7" fillId="4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vertical="center" wrapText="1"/>
    </xf>
    <xf numFmtId="0" fontId="0" fillId="4" borderId="0" xfId="0" applyFill="1"/>
    <xf numFmtId="164" fontId="3" fillId="0" borderId="1" xfId="0" applyNumberFormat="1" applyFont="1" applyBorder="1" applyAlignment="1">
      <alignment vertical="center" wrapText="1"/>
    </xf>
    <xf numFmtId="0" fontId="0" fillId="0" borderId="0" xfId="0" applyBorder="1"/>
    <xf numFmtId="164" fontId="3" fillId="3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vertical="center" wrapText="1"/>
    </xf>
    <xf numFmtId="0" fontId="8" fillId="4" borderId="0" xfId="0" applyFont="1" applyFill="1"/>
    <xf numFmtId="166" fontId="3" fillId="3" borderId="1" xfId="0" applyNumberFormat="1" applyFont="1" applyFill="1" applyBorder="1" applyAlignment="1">
      <alignment vertical="center" wrapText="1"/>
    </xf>
    <xf numFmtId="0" fontId="6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8"/>
  <sheetViews>
    <sheetView showGridLines="0" tabSelected="1" workbookViewId="0">
      <selection activeCell="B23" sqref="B23"/>
    </sheetView>
  </sheetViews>
  <sheetFormatPr defaultRowHeight="14.4" x14ac:dyDescent="0.3"/>
  <cols>
    <col min="1" max="1" width="25" customWidth="1"/>
    <col min="2" max="2" width="32" customWidth="1"/>
    <col min="3" max="4" width="18" customWidth="1"/>
  </cols>
  <sheetData>
    <row r="1" spans="1:4" ht="28.05" customHeight="1" x14ac:dyDescent="0.3">
      <c r="A1" s="7" t="s">
        <v>71</v>
      </c>
      <c r="B1" s="6"/>
      <c r="C1" s="6"/>
      <c r="D1" s="6"/>
    </row>
    <row r="3" spans="1:4" ht="31.2" x14ac:dyDescent="0.3">
      <c r="A3" s="1" t="s">
        <v>0</v>
      </c>
    </row>
    <row r="4" spans="1:4" x14ac:dyDescent="0.3">
      <c r="A4" s="5" t="s">
        <v>1</v>
      </c>
      <c r="B4" s="6"/>
      <c r="C4" s="6"/>
      <c r="D4" s="6"/>
    </row>
    <row r="6" spans="1:4" ht="31.2" x14ac:dyDescent="0.3">
      <c r="A6" s="1" t="s">
        <v>2</v>
      </c>
    </row>
    <row r="7" spans="1:4" x14ac:dyDescent="0.3">
      <c r="A7" s="2" t="s">
        <v>3</v>
      </c>
      <c r="B7" s="5" t="s">
        <v>4</v>
      </c>
      <c r="C7" s="6"/>
      <c r="D7" s="6"/>
    </row>
    <row r="8" spans="1:4" x14ac:dyDescent="0.3">
      <c r="A8" s="2" t="s">
        <v>5</v>
      </c>
      <c r="B8" s="5" t="s">
        <v>6</v>
      </c>
      <c r="C8" s="6"/>
      <c r="D8" s="6"/>
    </row>
    <row r="9" spans="1:4" x14ac:dyDescent="0.3">
      <c r="A9" s="2" t="s">
        <v>7</v>
      </c>
      <c r="B9" s="5" t="s">
        <v>8</v>
      </c>
      <c r="C9" s="6"/>
      <c r="D9" s="6"/>
    </row>
    <row r="10" spans="1:4" x14ac:dyDescent="0.3">
      <c r="A10" s="2" t="s">
        <v>9</v>
      </c>
      <c r="B10" s="5" t="s">
        <v>10</v>
      </c>
      <c r="C10" s="6"/>
      <c r="D10" s="6"/>
    </row>
    <row r="11" spans="1:4" x14ac:dyDescent="0.3">
      <c r="A11" s="2" t="s">
        <v>11</v>
      </c>
      <c r="B11" s="5" t="s">
        <v>12</v>
      </c>
      <c r="C11" s="6"/>
      <c r="D11" s="6"/>
    </row>
    <row r="12" spans="1:4" x14ac:dyDescent="0.3">
      <c r="A12" s="2" t="s">
        <v>13</v>
      </c>
      <c r="B12" s="5" t="s">
        <v>14</v>
      </c>
      <c r="C12" s="6"/>
      <c r="D12" s="6"/>
    </row>
    <row r="15" spans="1:4" x14ac:dyDescent="0.3">
      <c r="A15" s="3" t="s">
        <v>15</v>
      </c>
    </row>
    <row r="16" spans="1:4" x14ac:dyDescent="0.3">
      <c r="A16" s="5" t="s">
        <v>16</v>
      </c>
      <c r="B16" s="6"/>
      <c r="C16" s="6"/>
      <c r="D16" s="6"/>
    </row>
    <row r="17" spans="1:4" x14ac:dyDescent="0.3">
      <c r="A17" s="5" t="s">
        <v>17</v>
      </c>
      <c r="B17" s="6"/>
      <c r="C17" s="6"/>
      <c r="D17" s="6"/>
    </row>
    <row r="18" spans="1:4" x14ac:dyDescent="0.3">
      <c r="A18" s="5" t="s">
        <v>18</v>
      </c>
      <c r="B18" s="6"/>
      <c r="C18" s="6"/>
      <c r="D18" s="6"/>
    </row>
  </sheetData>
  <mergeCells count="11">
    <mergeCell ref="B10:D10"/>
    <mergeCell ref="A1:D1"/>
    <mergeCell ref="B11:D11"/>
    <mergeCell ref="A17:D17"/>
    <mergeCell ref="A18:D18"/>
    <mergeCell ref="A4:D4"/>
    <mergeCell ref="B8:D8"/>
    <mergeCell ref="B9:D9"/>
    <mergeCell ref="A16:D16"/>
    <mergeCell ref="B12:D12"/>
    <mergeCell ref="B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8"/>
  <sheetViews>
    <sheetView showGridLines="0" workbookViewId="0">
      <pane ySplit="3" topLeftCell="A4" activePane="bottomLeft" state="frozen"/>
      <selection pane="bottomLeft" activeCell="E8" sqref="E8"/>
    </sheetView>
  </sheetViews>
  <sheetFormatPr defaultRowHeight="14.4" x14ac:dyDescent="0.3"/>
  <cols>
    <col min="1" max="4" width="16" customWidth="1"/>
    <col min="5" max="5" width="22" customWidth="1"/>
    <col min="6" max="6" width="18" customWidth="1"/>
  </cols>
  <sheetData>
    <row r="1" spans="1:6" ht="28.05" customHeight="1" x14ac:dyDescent="0.3">
      <c r="A1" s="10" t="s">
        <v>19</v>
      </c>
      <c r="B1" s="9"/>
      <c r="C1" s="9"/>
      <c r="D1" s="9"/>
      <c r="E1" s="9"/>
      <c r="F1" s="9"/>
    </row>
    <row r="2" spans="1:6" x14ac:dyDescent="0.3">
      <c r="A2" s="8"/>
      <c r="B2" s="8"/>
      <c r="C2" s="8"/>
      <c r="D2" s="8"/>
      <c r="E2" s="8"/>
      <c r="F2" s="8"/>
    </row>
    <row r="3" spans="1:6" x14ac:dyDescent="0.3">
      <c r="A3" s="11" t="s">
        <v>20</v>
      </c>
      <c r="B3" s="11" t="s">
        <v>21</v>
      </c>
      <c r="C3" s="11" t="s">
        <v>22</v>
      </c>
      <c r="D3" s="11" t="s">
        <v>23</v>
      </c>
      <c r="E3" s="11" t="s">
        <v>24</v>
      </c>
      <c r="F3" s="11" t="s">
        <v>25</v>
      </c>
    </row>
    <row r="4" spans="1:6" x14ac:dyDescent="0.3">
      <c r="A4" s="12" t="s">
        <v>26</v>
      </c>
      <c r="B4" s="13">
        <v>12425</v>
      </c>
      <c r="C4" s="13">
        <v>1749</v>
      </c>
      <c r="D4" s="13">
        <v>1076</v>
      </c>
      <c r="E4" s="12" t="s">
        <v>27</v>
      </c>
      <c r="F4" s="12" t="s">
        <v>28</v>
      </c>
    </row>
    <row r="5" spans="1:6" x14ac:dyDescent="0.3">
      <c r="A5" s="12" t="s">
        <v>29</v>
      </c>
      <c r="B5" s="13">
        <v>13783</v>
      </c>
      <c r="C5" s="13">
        <v>1874</v>
      </c>
      <c r="D5" s="13">
        <v>1347</v>
      </c>
      <c r="E5" s="12" t="s">
        <v>27</v>
      </c>
      <c r="F5" s="12" t="s">
        <v>28</v>
      </c>
    </row>
    <row r="6" spans="1:6" x14ac:dyDescent="0.3">
      <c r="A6" s="12" t="s">
        <v>30</v>
      </c>
      <c r="B6" s="13">
        <v>15206</v>
      </c>
      <c r="C6" s="13">
        <v>2323</v>
      </c>
      <c r="D6" s="13">
        <v>1215</v>
      </c>
      <c r="E6" s="12" t="s">
        <v>27</v>
      </c>
      <c r="F6" s="12" t="s">
        <v>28</v>
      </c>
    </row>
    <row r="7" spans="1:6" x14ac:dyDescent="0.3">
      <c r="A7" s="12" t="s">
        <v>31</v>
      </c>
      <c r="B7" s="13">
        <v>17618</v>
      </c>
      <c r="C7" s="13">
        <v>2502</v>
      </c>
      <c r="D7" s="13">
        <v>1287</v>
      </c>
      <c r="E7" s="12" t="s">
        <v>27</v>
      </c>
      <c r="F7" s="12" t="s">
        <v>28</v>
      </c>
    </row>
    <row r="8" spans="1:6" x14ac:dyDescent="0.3">
      <c r="A8" s="12" t="s">
        <v>32</v>
      </c>
      <c r="B8" s="13">
        <v>20290</v>
      </c>
      <c r="C8" s="13">
        <v>2815</v>
      </c>
      <c r="D8" s="13">
        <v>1547</v>
      </c>
      <c r="E8" s="12" t="s">
        <v>27</v>
      </c>
      <c r="F8" s="12" t="s">
        <v>28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2"/>
  <sheetViews>
    <sheetView showGridLines="0" workbookViewId="0">
      <selection activeCell="H14" sqref="H14"/>
    </sheetView>
  </sheetViews>
  <sheetFormatPr defaultRowHeight="14.4" x14ac:dyDescent="0.3"/>
  <cols>
    <col min="1" max="1" width="16" customWidth="1"/>
    <col min="2" max="4" width="18" customWidth="1"/>
    <col min="5" max="5" width="20" customWidth="1"/>
  </cols>
  <sheetData>
    <row r="1" spans="1:5" ht="28.05" customHeight="1" x14ac:dyDescent="0.3">
      <c r="A1" s="10" t="s">
        <v>33</v>
      </c>
      <c r="B1" s="14"/>
      <c r="C1" s="14"/>
      <c r="D1" s="14"/>
      <c r="E1" s="14"/>
    </row>
    <row r="3" spans="1:5" x14ac:dyDescent="0.3">
      <c r="A3" s="11" t="s">
        <v>34</v>
      </c>
      <c r="B3" s="11" t="s">
        <v>21</v>
      </c>
      <c r="C3" s="11" t="s">
        <v>35</v>
      </c>
      <c r="D3" s="11" t="s">
        <v>22</v>
      </c>
      <c r="E3" s="11" t="s">
        <v>36</v>
      </c>
    </row>
    <row r="4" spans="1:5" x14ac:dyDescent="0.3">
      <c r="A4" s="12" t="str">
        <f>'Company Data'!A4</f>
        <v>FY22</v>
      </c>
      <c r="B4" s="13">
        <f>'Company Data'!B4</f>
        <v>12425</v>
      </c>
      <c r="C4" s="15" t="s">
        <v>37</v>
      </c>
      <c r="D4" s="13">
        <f>'Company Data'!C4</f>
        <v>1749</v>
      </c>
      <c r="E4" s="15">
        <f>D4/B4</f>
        <v>0.14076458752515089</v>
      </c>
    </row>
    <row r="5" spans="1:5" x14ac:dyDescent="0.3">
      <c r="A5" s="12" t="str">
        <f>'Company Data'!A5</f>
        <v>FY23</v>
      </c>
      <c r="B5" s="13">
        <f>'Company Data'!B5</f>
        <v>13783</v>
      </c>
      <c r="C5" s="15">
        <f>B5/B4-1</f>
        <v>0.10929577464788731</v>
      </c>
      <c r="D5" s="13">
        <f>'Company Data'!C5</f>
        <v>1874</v>
      </c>
      <c r="E5" s="15">
        <f>D5/B5</f>
        <v>0.13596459406515271</v>
      </c>
    </row>
    <row r="6" spans="1:5" x14ac:dyDescent="0.3">
      <c r="A6" s="12" t="str">
        <f>'Company Data'!A6</f>
        <v>FY24</v>
      </c>
      <c r="B6" s="13">
        <f>'Company Data'!B6</f>
        <v>15206</v>
      </c>
      <c r="C6" s="15">
        <f>B6/B5-1</f>
        <v>0.10324312558949433</v>
      </c>
      <c r="D6" s="13">
        <f>'Company Data'!C6</f>
        <v>2323</v>
      </c>
      <c r="E6" s="15">
        <f>D6/B6</f>
        <v>0.15276864395633302</v>
      </c>
    </row>
    <row r="7" spans="1:5" x14ac:dyDescent="0.3">
      <c r="A7" s="12" t="str">
        <f>'Company Data'!A7</f>
        <v>FY25</v>
      </c>
      <c r="B7" s="13">
        <f>'Company Data'!B7</f>
        <v>17618</v>
      </c>
      <c r="C7" s="15">
        <f>B7/B6-1</f>
        <v>0.1586215967381297</v>
      </c>
      <c r="D7" s="13">
        <f>'Company Data'!C7</f>
        <v>2502</v>
      </c>
      <c r="E7" s="15">
        <f>D7/B7</f>
        <v>0.14201384947213078</v>
      </c>
    </row>
    <row r="8" spans="1:5" x14ac:dyDescent="0.3">
      <c r="A8" s="12" t="str">
        <f>'Company Data'!A8</f>
        <v>FY26</v>
      </c>
      <c r="B8" s="13">
        <f>'Company Data'!B8</f>
        <v>20290</v>
      </c>
      <c r="C8" s="15">
        <f>B8/B7-1</f>
        <v>0.15166307185832673</v>
      </c>
      <c r="D8" s="13">
        <f>'Company Data'!C8</f>
        <v>2815</v>
      </c>
      <c r="E8" s="15">
        <f>D8/B8</f>
        <v>0.13873829472646623</v>
      </c>
    </row>
    <row r="9" spans="1:5" x14ac:dyDescent="0.3">
      <c r="A9" s="16"/>
      <c r="B9" s="16"/>
      <c r="C9" s="16"/>
      <c r="D9" s="16"/>
      <c r="E9" s="16"/>
    </row>
    <row r="11" spans="1:5" ht="27.6" x14ac:dyDescent="0.3">
      <c r="A11" s="2" t="s">
        <v>38</v>
      </c>
    </row>
    <row r="12" spans="1:5" x14ac:dyDescent="0.3">
      <c r="A12" s="5" t="s">
        <v>39</v>
      </c>
      <c r="B12" s="6"/>
      <c r="C12" s="6"/>
      <c r="D12" s="6"/>
      <c r="E12" s="6"/>
    </row>
  </sheetData>
  <mergeCells count="2">
    <mergeCell ref="A1:E1"/>
    <mergeCell ref="A12:E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3"/>
  <sheetViews>
    <sheetView showGridLines="0" workbookViewId="0">
      <selection activeCell="B8" sqref="B8"/>
    </sheetView>
  </sheetViews>
  <sheetFormatPr defaultRowHeight="14.4" x14ac:dyDescent="0.3"/>
  <cols>
    <col min="1" max="2" width="18" customWidth="1"/>
    <col min="3" max="3" width="20" customWidth="1"/>
    <col min="4" max="4" width="18" customWidth="1"/>
    <col min="5" max="5" width="24" customWidth="1"/>
  </cols>
  <sheetData>
    <row r="1" spans="1:5" ht="28.05" customHeight="1" x14ac:dyDescent="0.3">
      <c r="A1" s="10" t="s">
        <v>40</v>
      </c>
      <c r="B1" s="14"/>
      <c r="C1" s="14"/>
      <c r="D1" s="14"/>
      <c r="E1" s="14"/>
    </row>
    <row r="3" spans="1:5" ht="28.8" customHeight="1" x14ac:dyDescent="0.3">
      <c r="A3" s="12" t="s">
        <v>41</v>
      </c>
      <c r="B3" s="17">
        <v>0.08</v>
      </c>
      <c r="C3" s="18" t="s">
        <v>42</v>
      </c>
      <c r="D3" s="18"/>
      <c r="E3" s="18"/>
    </row>
    <row r="4" spans="1:5" ht="28.8" x14ac:dyDescent="0.3">
      <c r="A4" s="12" t="s">
        <v>43</v>
      </c>
      <c r="B4" s="17">
        <v>0.14499999999999999</v>
      </c>
      <c r="C4" s="18"/>
      <c r="D4" s="18"/>
      <c r="E4" s="18"/>
    </row>
    <row r="6" spans="1:5" x14ac:dyDescent="0.3">
      <c r="A6" s="11" t="s">
        <v>34</v>
      </c>
      <c r="B6" s="11" t="s">
        <v>21</v>
      </c>
      <c r="C6" s="11" t="s">
        <v>36</v>
      </c>
      <c r="D6" s="11" t="s">
        <v>22</v>
      </c>
      <c r="E6" s="11" t="s">
        <v>44</v>
      </c>
    </row>
    <row r="7" spans="1:5" x14ac:dyDescent="0.3">
      <c r="A7" s="12" t="s">
        <v>45</v>
      </c>
      <c r="B7" s="19">
        <f>'Company Data'!B8*(1+$B$3)</f>
        <v>21913.200000000001</v>
      </c>
      <c r="C7" s="15">
        <f>$B$4</f>
        <v>0.14499999999999999</v>
      </c>
      <c r="D7" s="19">
        <f>B7*C7</f>
        <v>3177.4139999999998</v>
      </c>
      <c r="E7" s="12" t="s">
        <v>46</v>
      </c>
    </row>
    <row r="8" spans="1:5" x14ac:dyDescent="0.3">
      <c r="A8" s="12" t="s">
        <v>47</v>
      </c>
      <c r="B8" s="19">
        <f>B7*(1+$B$3)</f>
        <v>23666.256000000001</v>
      </c>
      <c r="C8" s="15">
        <f>$B$4</f>
        <v>0.14499999999999999</v>
      </c>
      <c r="D8" s="19">
        <f>B8*C8</f>
        <v>3431.6071200000001</v>
      </c>
      <c r="E8" s="12" t="s">
        <v>46</v>
      </c>
    </row>
    <row r="9" spans="1:5" x14ac:dyDescent="0.3">
      <c r="A9" s="12" t="s">
        <v>48</v>
      </c>
      <c r="B9" s="19">
        <f>B8*(1+$B$3)</f>
        <v>25559.556480000003</v>
      </c>
      <c r="C9" s="15">
        <f>$B$4</f>
        <v>0.14499999999999999</v>
      </c>
      <c r="D9" s="19">
        <f>B9*C9</f>
        <v>3706.1356896000002</v>
      </c>
      <c r="E9" s="12" t="s">
        <v>46</v>
      </c>
    </row>
    <row r="12" spans="1:5" ht="27.6" x14ac:dyDescent="0.3">
      <c r="A12" s="2" t="s">
        <v>49</v>
      </c>
    </row>
    <row r="13" spans="1:5" ht="46.2" customHeight="1" x14ac:dyDescent="0.3">
      <c r="A13" s="5" t="s">
        <v>50</v>
      </c>
      <c r="B13" s="6"/>
      <c r="C13" s="6"/>
      <c r="D13" s="6"/>
      <c r="E13" s="6"/>
    </row>
  </sheetData>
  <mergeCells count="3">
    <mergeCell ref="A1:E1"/>
    <mergeCell ref="A13:E13"/>
    <mergeCell ref="C3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10"/>
  <sheetViews>
    <sheetView showGridLines="0" workbookViewId="0">
      <selection activeCell="B16" sqref="B16"/>
    </sheetView>
  </sheetViews>
  <sheetFormatPr defaultRowHeight="14.4" x14ac:dyDescent="0.3"/>
  <cols>
    <col min="1" max="1" width="38" customWidth="1"/>
    <col min="2" max="2" width="22" customWidth="1"/>
    <col min="3" max="4" width="18" customWidth="1"/>
  </cols>
  <sheetData>
    <row r="1" spans="1:4" ht="28.05" customHeight="1" x14ac:dyDescent="0.3">
      <c r="A1" s="10" t="s">
        <v>72</v>
      </c>
      <c r="B1" s="20"/>
      <c r="C1" s="20"/>
      <c r="D1" s="20"/>
    </row>
    <row r="3" spans="1:4" x14ac:dyDescent="0.3">
      <c r="A3" s="12" t="s">
        <v>51</v>
      </c>
      <c r="B3" s="19">
        <f>'Company Data'!C8</f>
        <v>2815</v>
      </c>
    </row>
    <row r="4" spans="1:4" x14ac:dyDescent="0.3">
      <c r="A4" s="12" t="s">
        <v>52</v>
      </c>
      <c r="B4" s="21">
        <v>20</v>
      </c>
    </row>
    <row r="5" spans="1:4" x14ac:dyDescent="0.3">
      <c r="A5" s="12" t="s">
        <v>53</v>
      </c>
      <c r="B5" s="19">
        <f>B3*B4</f>
        <v>56300</v>
      </c>
    </row>
    <row r="7" spans="1:4" x14ac:dyDescent="0.3">
      <c r="A7" s="2" t="s">
        <v>54</v>
      </c>
    </row>
    <row r="8" spans="1:4" x14ac:dyDescent="0.3">
      <c r="A8" s="5" t="s">
        <v>55</v>
      </c>
      <c r="B8" s="6"/>
      <c r="C8" s="6"/>
      <c r="D8" s="6"/>
    </row>
    <row r="9" spans="1:4" ht="2.4" customHeight="1" x14ac:dyDescent="0.3"/>
    <row r="10" spans="1:4" ht="20.399999999999999" customHeight="1" x14ac:dyDescent="0.3">
      <c r="A10" s="5" t="s">
        <v>56</v>
      </c>
      <c r="B10" s="6"/>
      <c r="C10" s="6"/>
      <c r="D10" s="6"/>
    </row>
  </sheetData>
  <mergeCells count="3">
    <mergeCell ref="A1:D1"/>
    <mergeCell ref="A8:D8"/>
    <mergeCell ref="A10:D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15"/>
  <sheetViews>
    <sheetView showGridLines="0" workbookViewId="0">
      <selection activeCell="C7" sqref="C7"/>
    </sheetView>
  </sheetViews>
  <sheetFormatPr defaultRowHeight="14.4" x14ac:dyDescent="0.3"/>
  <cols>
    <col min="1" max="1" width="32" customWidth="1"/>
    <col min="2" max="2" width="20" customWidth="1"/>
    <col min="3" max="3" width="55" customWidth="1"/>
    <col min="4" max="4" width="12" customWidth="1"/>
  </cols>
  <sheetData>
    <row r="1" spans="1:4" ht="28.05" customHeight="1" x14ac:dyDescent="0.3">
      <c r="A1" s="10" t="s">
        <v>57</v>
      </c>
      <c r="B1" s="20"/>
      <c r="C1" s="20"/>
      <c r="D1" s="20"/>
    </row>
    <row r="2" spans="1:4" x14ac:dyDescent="0.3">
      <c r="A2" s="11" t="s">
        <v>58</v>
      </c>
      <c r="B2" s="11" t="s">
        <v>59</v>
      </c>
      <c r="C2" s="22"/>
    </row>
    <row r="3" spans="1:4" x14ac:dyDescent="0.3">
      <c r="A3" s="12" t="s">
        <v>60</v>
      </c>
      <c r="B3" s="19">
        <f>'Simple Valuation'!B5</f>
        <v>56300</v>
      </c>
    </row>
    <row r="4" spans="1:4" x14ac:dyDescent="0.3">
      <c r="A4" s="12" t="s">
        <v>61</v>
      </c>
      <c r="B4" s="19">
        <f>B3*30%</f>
        <v>16890</v>
      </c>
    </row>
    <row r="5" spans="1:4" x14ac:dyDescent="0.3">
      <c r="A5" s="12" t="s">
        <v>62</v>
      </c>
      <c r="B5" s="19">
        <f>B3-B4</f>
        <v>39410</v>
      </c>
    </row>
    <row r="6" spans="1:4" x14ac:dyDescent="0.3">
      <c r="A6" s="12" t="s">
        <v>63</v>
      </c>
      <c r="B6" s="19">
        <f>Forecast!D9</f>
        <v>3706.1356896000002</v>
      </c>
    </row>
    <row r="7" spans="1:4" x14ac:dyDescent="0.3">
      <c r="A7" s="12" t="s">
        <v>64</v>
      </c>
      <c r="B7" s="21">
        <v>20</v>
      </c>
    </row>
    <row r="8" spans="1:4" x14ac:dyDescent="0.3">
      <c r="A8" s="12" t="s">
        <v>65</v>
      </c>
      <c r="B8" s="19">
        <f>B6*B7</f>
        <v>74122.71379200001</v>
      </c>
    </row>
    <row r="9" spans="1:4" x14ac:dyDescent="0.3">
      <c r="A9" s="12" t="s">
        <v>66</v>
      </c>
      <c r="B9" s="19">
        <f>B4*70%</f>
        <v>11823</v>
      </c>
    </row>
    <row r="10" spans="1:4" x14ac:dyDescent="0.3">
      <c r="A10" s="12" t="s">
        <v>67</v>
      </c>
      <c r="B10" s="19">
        <f>B8-B9</f>
        <v>62299.71379200001</v>
      </c>
    </row>
    <row r="11" spans="1:4" x14ac:dyDescent="0.3">
      <c r="A11" s="12" t="s">
        <v>68</v>
      </c>
      <c r="B11" s="19">
        <f>B10/B5</f>
        <v>1.580809789190561</v>
      </c>
    </row>
    <row r="12" spans="1:4" x14ac:dyDescent="0.3">
      <c r="B12" s="4"/>
    </row>
    <row r="14" spans="1:4" x14ac:dyDescent="0.3">
      <c r="A14" s="2" t="s">
        <v>69</v>
      </c>
    </row>
    <row r="15" spans="1:4" x14ac:dyDescent="0.3">
      <c r="A15" s="5" t="s">
        <v>70</v>
      </c>
      <c r="B15" s="6"/>
      <c r="C15" s="6"/>
      <c r="D15" s="6"/>
    </row>
  </sheetData>
  <mergeCells count="2">
    <mergeCell ref="A1:D1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 Here</vt:lpstr>
      <vt:lpstr>Company Data</vt:lpstr>
      <vt:lpstr>Simple Analysis</vt:lpstr>
      <vt:lpstr>Forecast</vt:lpstr>
      <vt:lpstr>Simple Valuation</vt:lpstr>
      <vt:lpstr>PE 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akshata shinde</cp:lastModifiedBy>
  <dcterms:created xsi:type="dcterms:W3CDTF">2026-10-01T19:43:02Z</dcterms:created>
  <dcterms:modified xsi:type="dcterms:W3CDTF">2026-10-01T20:07:37Z</dcterms:modified>
</cp:coreProperties>
</file>